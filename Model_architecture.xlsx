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paulbeguelin/Library/Mobile Documents/com~apple~CloudDocs/EARTHCODES/EARTHCODES software/earthcodes/"/>
    </mc:Choice>
  </mc:AlternateContent>
  <xr:revisionPtr revIDLastSave="0" documentId="13_ncr:1_{C3251F75-D2D4-6A4C-AA59-823A9AAA0E68}" xr6:coauthVersionLast="47" xr6:coauthVersionMax="47" xr10:uidLastSave="{00000000-0000-0000-0000-000000000000}"/>
  <bookViews>
    <workbookView xWindow="160" yWindow="920" windowWidth="29920" windowHeight="1856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1" i="1" l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E21" i="1"/>
  <c r="D21" i="1"/>
  <c r="C21" i="1"/>
  <c r="B21" i="1"/>
  <c r="H10" i="1"/>
  <c r="G10" i="1"/>
  <c r="F10" i="1"/>
  <c r="E10" i="1"/>
  <c r="D10" i="1"/>
  <c r="C10" i="1"/>
  <c r="B10" i="1"/>
</calcChain>
</file>

<file path=xl/sharedStrings.xml><?xml version="1.0" encoding="utf-8"?>
<sst xmlns="http://schemas.openxmlformats.org/spreadsheetml/2006/main" count="287" uniqueCount="116">
  <si>
    <t>Model setup and architecture</t>
  </si>
  <si>
    <t>Names of isotope ratios and elements are as in Georoc (case sensitive)</t>
  </si>
  <si>
    <t>Model observables</t>
  </si>
  <si>
    <t>Isotope ratios</t>
  </si>
  <si>
    <t>SR87_SR86</t>
  </si>
  <si>
    <t>CE138_CE136</t>
  </si>
  <si>
    <t>ND143_ND144</t>
  </si>
  <si>
    <t>HF176_HF177</t>
  </si>
  <si>
    <t>PB206_PB204</t>
  </si>
  <si>
    <t>PB207_PB204</t>
  </si>
  <si>
    <t>PB208_PB204</t>
  </si>
  <si>
    <t>use in model?</t>
  </si>
  <si>
    <t>yes</t>
  </si>
  <si>
    <t>no</t>
  </si>
  <si>
    <t>number of cells</t>
  </si>
  <si>
    <t>range min</t>
  </si>
  <si>
    <t>range max</t>
  </si>
  <si>
    <t>resolution</t>
  </si>
  <si>
    <t>Model output validity conditions (optional)</t>
  </si>
  <si>
    <t>Element</t>
  </si>
  <si>
    <t>SR</t>
  </si>
  <si>
    <t>CE</t>
  </si>
  <si>
    <t>ND</t>
  </si>
  <si>
    <t>HF</t>
  </si>
  <si>
    <t>PB</t>
  </si>
  <si>
    <t>enforce condition?</t>
  </si>
  <si>
    <t>min value</t>
  </si>
  <si>
    <t>max value</t>
  </si>
  <si>
    <t>Elements tracked</t>
  </si>
  <si>
    <t>(Parent and daughter elements of model observables used are always included.)</t>
  </si>
  <si>
    <t>RB</t>
  </si>
  <si>
    <t>LA</t>
  </si>
  <si>
    <t>SM</t>
  </si>
  <si>
    <t>LU</t>
  </si>
  <si>
    <t>U</t>
  </si>
  <si>
    <t>TH</t>
  </si>
  <si>
    <t>BA</t>
  </si>
  <si>
    <t>TA</t>
  </si>
  <si>
    <t>GD</t>
  </si>
  <si>
    <t>EU</t>
  </si>
  <si>
    <t>TI</t>
  </si>
  <si>
    <t>NB</t>
  </si>
  <si>
    <t>ZR</t>
  </si>
  <si>
    <t>include?</t>
  </si>
  <si>
    <t>included</t>
  </si>
  <si>
    <t>Model Architecture (scenario)</t>
  </si>
  <si>
    <t>Reservoir_0 at t0 is the model output.    t0 = present day,   t_init = 4.57 Ga.    NAMES MUST BE UNIQUE (will become sheet names in Control workbook)</t>
  </si>
  <si>
    <t>Reservoir_0</t>
  </si>
  <si>
    <t>name_0</t>
  </si>
  <si>
    <t>Reservoir_1</t>
  </si>
  <si>
    <t>name_1</t>
  </si>
  <si>
    <t>Reservoir_2</t>
  </si>
  <si>
    <t>name_2</t>
  </si>
  <si>
    <t>Reservoir_3</t>
  </si>
  <si>
    <t>name_3</t>
  </si>
  <si>
    <t>Reservoir_4</t>
  </si>
  <si>
    <t>name_4</t>
  </si>
  <si>
    <t>Reservoir_5</t>
  </si>
  <si>
    <t>name_5</t>
  </si>
  <si>
    <t>name:</t>
  </si>
  <si>
    <t>Times_0</t>
  </si>
  <si>
    <t>Processes_0</t>
  </si>
  <si>
    <t>Times_1</t>
  </si>
  <si>
    <t>Processes_1</t>
  </si>
  <si>
    <t>Times_2</t>
  </si>
  <si>
    <t>Processes_2</t>
  </si>
  <si>
    <t>Times_3</t>
  </si>
  <si>
    <t>Processes_3</t>
  </si>
  <si>
    <t>Times_4</t>
  </si>
  <si>
    <t>Processes_4</t>
  </si>
  <si>
    <t>Times_5</t>
  </si>
  <si>
    <t>Processes_5</t>
  </si>
  <si>
    <t>Comments_5</t>
  </si>
  <si>
    <t>Comments_0</t>
  </si>
  <si>
    <t>Comments_1</t>
  </si>
  <si>
    <t>Comments_2</t>
  </si>
  <si>
    <t>Comments_3</t>
  </si>
  <si>
    <t>Comments_4</t>
  </si>
  <si>
    <t>a</t>
  </si>
  <si>
    <t>b</t>
  </si>
  <si>
    <t>c</t>
  </si>
  <si>
    <t>d</t>
  </si>
  <si>
    <t>f</t>
  </si>
  <si>
    <t>e</t>
  </si>
  <si>
    <t>g</t>
  </si>
  <si>
    <t>h</t>
  </si>
  <si>
    <t>i</t>
  </si>
  <si>
    <t>j</t>
  </si>
  <si>
    <t>k</t>
  </si>
  <si>
    <t>l</t>
  </si>
  <si>
    <t>Indexes_5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</si>
  <si>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</si>
  <si>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</si>
  <si>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</si>
  <si>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</si>
  <si>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</si>
  <si>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</si>
  <si>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</si>
  <si>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</si>
  <si>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</si>
  <si>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</si>
  <si>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</si>
  <si>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</si>
  <si>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</si>
  <si>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</si>
  <si>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Indexes_4</t>
  </si>
  <si>
    <t>Indexes_3</t>
  </si>
  <si>
    <t>Indexes_2</t>
  </si>
  <si>
    <t>Indexes_0</t>
  </si>
  <si>
    <t>Indexes_1</t>
  </si>
  <si>
    <t>Physical parameters tracked</t>
  </si>
  <si>
    <t>Parameter</t>
  </si>
  <si>
    <t>Fd</t>
  </si>
  <si>
    <t>F_i</t>
  </si>
  <si>
    <t>Include?</t>
  </si>
  <si>
    <t>(Fd is the cummulated degree of melt-depletion and F_i is the lastest degree of melting.)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</si>
</sst>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5" x14ac:knownFonts="1">
    <font>
      <sz val="12"/>
      <color theme="1"/>
      <name val="Aptos Narrow"/>
      <family val="2"/>
      <charset val="1"/>
    </font>
    <font>
      <sz val="12"/>
      <color theme="1"/>
      <name val="Arial"/>
      <family val="2"/>
      <charset val="1"/>
    </font>
    <font>
      <sz val="24"/>
      <color theme="1"/>
      <name val="Arial"/>
      <family val="2"/>
      <charset val="1"/>
    </font>
    <font>
      <i/>
      <sz val="12"/>
      <color theme="1"/>
      <name val="Arial"/>
      <family val="2"/>
      <charset val="1"/>
    </font>
    <font>
      <b/>
      <sz val="14"/>
      <color theme="1"/>
      <name val="Arial"/>
      <family val="2"/>
      <charset val="1"/>
    </font>
    <font>
      <sz val="14"/>
      <color theme="1"/>
      <name val="Arial"/>
      <family val="2"/>
      <charset val="1"/>
    </font>
    <font>
      <i/>
      <sz val="14"/>
      <color theme="1"/>
      <name val="Arial"/>
      <family val="2"/>
      <charset val="1"/>
    </font>
    <font>
      <b/>
      <sz val="12"/>
      <color theme="1"/>
      <name val="Arial"/>
      <family val="2"/>
      <charset val="1"/>
    </font>
    <font>
      <i/>
      <sz val="12"/>
      <color rgb="FFF2CFEE"/>
      <name val="Arial"/>
      <family val="2"/>
      <charset val="1"/>
    </font>
    <font>
      <i/>
      <sz val="12"/>
      <color rgb="FFDCEAF7"/>
      <name val="Arial"/>
      <family val="2"/>
      <charset val="1"/>
    </font>
    <font>
      <sz val="12"/>
      <name val="Arial"/>
      <family val="2"/>
      <charset val="1"/>
    </font>
    <font>
      <i/>
      <sz val="12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rgb="FFDCEAF7"/>
      </patternFill>
    </fill>
    <fill>
      <patternFill patternType="solid">
        <fgColor theme="8" tint="0.59978026673177287"/>
        <bgColor rgb="FFCC99FF"/>
      </patternFill>
    </fill>
    <fill>
      <patternFill patternType="solid">
        <fgColor theme="3" tint="0.74977874080629903"/>
        <bgColor rgb="FFC0C0C0"/>
      </patternFill>
    </fill>
    <fill>
      <patternFill patternType="solid">
        <fgColor theme="8" tint="0.79979857783745845"/>
        <bgColor rgb="FFD9D9D9"/>
      </patternFill>
    </fill>
    <fill>
      <patternFill patternType="solid">
        <fgColor theme="3" tint="0.89989928891872917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2" borderId="0" xfId="0" applyFont="1" applyFill="1"/>
    <xf numFmtId="0" fontId="3" fillId="2" borderId="0" xfId="0" applyFont="1" applyFill="1"/>
    <xf numFmtId="0" fontId="4" fillId="2" borderId="0" xfId="0" applyFont="1" applyFill="1"/>
    <xf numFmtId="164" fontId="3" fillId="2" borderId="0" xfId="0" applyNumberFormat="1" applyFont="1" applyFill="1"/>
    <xf numFmtId="0" fontId="5" fillId="2" borderId="0" xfId="0" applyFont="1" applyFill="1"/>
    <xf numFmtId="0" fontId="6" fillId="2" borderId="0" xfId="0" applyFont="1" applyFill="1"/>
    <xf numFmtId="0" fontId="7" fillId="3" borderId="0" xfId="0" applyFont="1" applyFill="1"/>
    <xf numFmtId="0" fontId="8" fillId="3" borderId="0" xfId="0" applyFont="1" applyFill="1"/>
    <xf numFmtId="0" fontId="7" fillId="4" borderId="0" xfId="0" applyFont="1" applyFill="1"/>
    <xf numFmtId="0" fontId="9" fillId="4" borderId="0" xfId="0" applyFont="1" applyFill="1"/>
    <xf numFmtId="0" fontId="10" fillId="4" borderId="0" xfId="0" applyFont="1" applyFill="1"/>
    <xf numFmtId="0" fontId="7" fillId="3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7" fillId="5" borderId="0" xfId="0" applyFont="1" applyFill="1" applyAlignment="1">
      <alignment horizontal="center" vertical="top" wrapText="1"/>
    </xf>
    <xf numFmtId="0" fontId="7" fillId="6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center" vertical="top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left"/>
    </xf>
    <xf numFmtId="0" fontId="7" fillId="0" borderId="0" xfId="0" applyFont="1"/>
    <xf numFmtId="0" fontId="1" fillId="0" borderId="0" xfId="0" applyFont="1" applyAlignment="1">
      <alignment vertical="center"/>
    </xf>
    <xf numFmtId="0" fontId="10" fillId="0" borderId="0" xfId="0" applyFont="1"/>
    <xf numFmtId="0" fontId="12" fillId="2" borderId="0" xfId="0" applyFont="1" applyFill="1"/>
    <xf numFmtId="0" fontId="13" fillId="2" borderId="0" xfId="0" applyFont="1" applyFill="1"/>
    <xf numFmtId="0" fontId="14" fillId="2" borderId="0" xfId="0" applyFont="1" applyFill="1"/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6CAEC"/>
      <rgbColor rgb="FFE59EDD"/>
      <rgbColor rgb="FFCC99FF"/>
      <rgbColor rgb="FFF2CFE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61"/>
  <sheetViews>
    <sheetView tabSelected="1" zoomScale="81" zoomScaleNormal="55" workbookViewId="0">
      <selection activeCell="I12" sqref="I12"/>
    </sheetView>
  </sheetViews>
  <sheetFormatPr baseColWidth="10" defaultColWidth="10.83203125" defaultRowHeight="16" x14ac:dyDescent="0.2"/>
  <cols>
    <col min="1" max="1" width="19.6640625" style="1" customWidth="1"/>
    <col min="2" max="24" width="16.6640625" style="1" customWidth="1"/>
    <col min="25" max="25" width="10.83203125" style="1"/>
    <col min="27" max="16384" width="10.83203125" style="1"/>
  </cols>
  <sheetData>
    <row r="1" spans="1:8" s="3" customFormat="1" ht="31.5" customHeight="1" x14ac:dyDescent="0.3">
      <c r="A1" s="2" t="s">
        <v>0</v>
      </c>
    </row>
    <row r="2" spans="1:8" s="3" customFormat="1" ht="9" customHeight="1" x14ac:dyDescent="0.3">
      <c r="A2" s="2"/>
    </row>
    <row r="3" spans="1:8" s="3" customFormat="1" ht="16.5" customHeight="1" x14ac:dyDescent="0.2">
      <c r="A3" s="4" t="s">
        <v>1</v>
      </c>
    </row>
    <row r="4" spans="1:8" s="3" customFormat="1" ht="16.5" customHeight="1" x14ac:dyDescent="0.2">
      <c r="A4" s="5" t="s">
        <v>2</v>
      </c>
    </row>
    <row r="5" spans="1:8" s="3" customFormat="1" ht="16.5" customHeight="1" x14ac:dyDescent="0.2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</row>
    <row r="6" spans="1:8" s="3" customFormat="1" ht="16.5" customHeight="1" x14ac:dyDescent="0.2">
      <c r="A6" s="3" t="s">
        <v>11</v>
      </c>
      <c r="B6" s="1" t="s">
        <v>12</v>
      </c>
      <c r="C6" s="1" t="s">
        <v>13</v>
      </c>
      <c r="D6" s="1" t="s">
        <v>12</v>
      </c>
      <c r="E6" s="1" t="s">
        <v>12</v>
      </c>
      <c r="F6" s="1" t="s">
        <v>12</v>
      </c>
      <c r="G6" s="1" t="s">
        <v>12</v>
      </c>
      <c r="H6" s="1" t="s">
        <v>12</v>
      </c>
    </row>
    <row r="7" spans="1:8" s="3" customFormat="1" ht="16.5" customHeight="1" x14ac:dyDescent="0.2">
      <c r="A7" s="3" t="s">
        <v>14</v>
      </c>
      <c r="B7" s="1"/>
      <c r="C7" s="1"/>
      <c r="D7" s="1"/>
      <c r="E7" s="1"/>
      <c r="F7" s="1"/>
      <c r="G7" s="1"/>
      <c r="H7" s="1"/>
    </row>
    <row r="8" spans="1:8" s="3" customFormat="1" ht="16.5" customHeight="1" x14ac:dyDescent="0.2">
      <c r="A8" s="3" t="s">
        <v>15</v>
      </c>
      <c r="B8" s="1"/>
      <c r="C8" s="1"/>
      <c r="D8" s="1"/>
      <c r="E8" s="1"/>
      <c r="F8" s="1"/>
      <c r="G8" s="1"/>
      <c r="H8" s="1"/>
    </row>
    <row r="9" spans="1:8" s="3" customFormat="1" ht="16.5" customHeight="1" x14ac:dyDescent="0.2">
      <c r="A9" s="3" t="s">
        <v>16</v>
      </c>
      <c r="B9" s="1"/>
      <c r="C9" s="1"/>
      <c r="D9" s="1"/>
      <c r="E9" s="1"/>
      <c r="F9" s="1"/>
      <c r="G9" s="1"/>
      <c r="H9" s="1"/>
    </row>
    <row r="10" spans="1:8" s="3" customFormat="1" ht="16.5" customHeight="1" x14ac:dyDescent="0.2">
      <c r="A10" s="4" t="s">
        <v>17</v>
      </c>
      <c r="B10" s="6" t="e">
        <f t="shared" ref="B10:H10" si="0">IF(B6="yes",(B9-B8)/B7,"")</f>
        <v>#DIV/0!</v>
      </c>
      <c r="C10" s="6" t="str">
        <f t="shared" si="0"/>
        <v/>
      </c>
      <c r="D10" s="6" t="e">
        <f t="shared" si="0"/>
        <v>#DIV/0!</v>
      </c>
      <c r="E10" s="6" t="e">
        <f t="shared" si="0"/>
        <v>#DIV/0!</v>
      </c>
      <c r="F10" s="6" t="e">
        <f t="shared" si="0"/>
        <v>#DIV/0!</v>
      </c>
      <c r="G10" s="6" t="e">
        <f t="shared" si="0"/>
        <v>#DIV/0!</v>
      </c>
      <c r="H10" s="6" t="e">
        <f t="shared" si="0"/>
        <v>#DIV/0!</v>
      </c>
    </row>
    <row r="11" spans="1:8" s="3" customFormat="1" ht="16.5" customHeight="1" x14ac:dyDescent="0.2">
      <c r="A11" s="7"/>
    </row>
    <row r="12" spans="1:8" s="3" customFormat="1" ht="16.5" customHeight="1" x14ac:dyDescent="0.2">
      <c r="A12" s="5" t="s">
        <v>18</v>
      </c>
    </row>
    <row r="13" spans="1:8" s="3" customFormat="1" ht="16.5" customHeight="1" x14ac:dyDescent="0.2">
      <c r="A13" s="3" t="s">
        <v>19</v>
      </c>
      <c r="B13" s="3" t="s">
        <v>20</v>
      </c>
      <c r="C13" s="3" t="s">
        <v>21</v>
      </c>
      <c r="D13" s="3" t="s">
        <v>22</v>
      </c>
      <c r="E13" s="3" t="s">
        <v>23</v>
      </c>
      <c r="F13" s="3" t="s">
        <v>24</v>
      </c>
    </row>
    <row r="14" spans="1:8" s="3" customFormat="1" ht="16.5" customHeight="1" x14ac:dyDescent="0.2">
      <c r="A14" s="3" t="s">
        <v>25</v>
      </c>
      <c r="B14" s="1" t="s">
        <v>13</v>
      </c>
      <c r="C14" s="1" t="s">
        <v>13</v>
      </c>
      <c r="D14" s="1" t="s">
        <v>13</v>
      </c>
      <c r="E14" s="1" t="s">
        <v>13</v>
      </c>
      <c r="F14" s="1" t="s">
        <v>13</v>
      </c>
    </row>
    <row r="15" spans="1:8" s="3" customFormat="1" ht="16.5" customHeight="1" x14ac:dyDescent="0.2">
      <c r="A15" s="3" t="s">
        <v>26</v>
      </c>
      <c r="B15" s="1"/>
      <c r="C15" s="1"/>
      <c r="D15" s="1"/>
      <c r="E15" s="1"/>
      <c r="F15" s="1"/>
    </row>
    <row r="16" spans="1:8" s="3" customFormat="1" ht="16.5" customHeight="1" x14ac:dyDescent="0.2">
      <c r="A16" s="3" t="s">
        <v>27</v>
      </c>
      <c r="B16" s="1"/>
      <c r="C16" s="1"/>
      <c r="D16" s="1"/>
      <c r="E16" s="1"/>
      <c r="F16" s="1"/>
    </row>
    <row r="17" spans="1:46" s="3" customFormat="1" ht="16.5" customHeight="1" x14ac:dyDescent="0.2">
      <c r="A17" s="7"/>
    </row>
    <row r="18" spans="1:46" s="3" customFormat="1" ht="16.5" customHeight="1" x14ac:dyDescent="0.2">
      <c r="A18" s="5" t="s">
        <v>28</v>
      </c>
      <c r="B18" s="4" t="s">
        <v>29</v>
      </c>
    </row>
    <row r="19" spans="1:46" s="3" customFormat="1" ht="16.5" customHeight="1" x14ac:dyDescent="0.2">
      <c r="A19" s="3" t="s">
        <v>19</v>
      </c>
      <c r="B19" s="3" t="s">
        <v>30</v>
      </c>
      <c r="C19" s="3" t="s">
        <v>20</v>
      </c>
      <c r="D19" s="3" t="s">
        <v>31</v>
      </c>
      <c r="E19" s="3" t="s">
        <v>21</v>
      </c>
      <c r="F19" s="3" t="s">
        <v>32</v>
      </c>
      <c r="G19" s="3" t="s">
        <v>22</v>
      </c>
      <c r="H19" s="3" t="s">
        <v>33</v>
      </c>
      <c r="I19" s="3" t="s">
        <v>23</v>
      </c>
      <c r="J19" s="3" t="s">
        <v>34</v>
      </c>
      <c r="K19" s="3" t="s">
        <v>35</v>
      </c>
      <c r="L19" s="3" t="s">
        <v>24</v>
      </c>
      <c r="M19" s="3" t="s">
        <v>36</v>
      </c>
      <c r="N19" s="3" t="s">
        <v>37</v>
      </c>
      <c r="O19" s="3" t="s">
        <v>38</v>
      </c>
      <c r="P19" s="3" t="s">
        <v>39</v>
      </c>
      <c r="Q19" s="3" t="s">
        <v>40</v>
      </c>
      <c r="R19" s="3" t="s">
        <v>41</v>
      </c>
      <c r="S19" s="3" t="s">
        <v>42</v>
      </c>
    </row>
    <row r="20" spans="1:46" s="3" customFormat="1" ht="16.5" customHeight="1" x14ac:dyDescent="0.2">
      <c r="A20" s="7" t="s">
        <v>43</v>
      </c>
      <c r="B20" s="1" t="s">
        <v>12</v>
      </c>
      <c r="C20" s="1" t="s">
        <v>12</v>
      </c>
      <c r="D20" s="1" t="s">
        <v>12</v>
      </c>
      <c r="E20" s="1" t="s">
        <v>12</v>
      </c>
      <c r="F20" s="1" t="s">
        <v>12</v>
      </c>
      <c r="G20" s="1" t="s">
        <v>12</v>
      </c>
      <c r="H20" s="1" t="s">
        <v>12</v>
      </c>
      <c r="I20" s="1" t="s">
        <v>12</v>
      </c>
      <c r="J20" s="1" t="s">
        <v>12</v>
      </c>
      <c r="K20" s="1" t="s">
        <v>12</v>
      </c>
      <c r="L20" s="1" t="s">
        <v>12</v>
      </c>
      <c r="M20" s="1" t="s">
        <v>13</v>
      </c>
      <c r="N20" s="1" t="s">
        <v>13</v>
      </c>
      <c r="O20" s="1" t="s">
        <v>13</v>
      </c>
      <c r="P20" s="1" t="s">
        <v>13</v>
      </c>
      <c r="Q20" s="1" t="s">
        <v>13</v>
      </c>
      <c r="R20" s="1" t="s">
        <v>13</v>
      </c>
      <c r="S20" s="1" t="s">
        <v>13</v>
      </c>
    </row>
    <row r="21" spans="1:46" s="3" customFormat="1" ht="16.5" customHeight="1" x14ac:dyDescent="0.2">
      <c r="A21" s="8" t="s">
        <v>44</v>
      </c>
      <c r="B21" s="4" t="str">
        <f>IF(B6="yes","yes",B20)</f>
        <v>yes</v>
      </c>
      <c r="C21" s="4" t="str">
        <f>IF(B6="yes","yes",C20)</f>
        <v>yes</v>
      </c>
      <c r="D21" s="4" t="str">
        <f>IF(C6="yes","yes",D20)</f>
        <v>yes</v>
      </c>
      <c r="E21" s="4" t="str">
        <f>IF(C6="yes","yes",E20)</f>
        <v>yes</v>
      </c>
      <c r="F21" s="4" t="str">
        <f>IF(D6="yes","yes",F20)</f>
        <v>yes</v>
      </c>
      <c r="G21" s="4" t="str">
        <f>IF(D6="yes","yes",G20)</f>
        <v>yes</v>
      </c>
      <c r="H21" s="4" t="str">
        <f>IF(E6="yes","yes",H20)</f>
        <v>yes</v>
      </c>
      <c r="I21" s="4" t="str">
        <f>IF(E6="yes","yes",I20)</f>
        <v>yes</v>
      </c>
      <c r="J21" s="4" t="str">
        <f>IF(OR(F6="yes",G6="yes"),"yes",J20)</f>
        <v>yes</v>
      </c>
      <c r="K21" s="4" t="str">
        <f>IF(H6="yes","yes",K20)</f>
        <v>yes</v>
      </c>
      <c r="L21" s="4" t="str">
        <f>IF(OR(F6="yes",G6="yes",H6="yes"),"yes",L20)</f>
        <v>yes</v>
      </c>
      <c r="M21" s="4" t="str">
        <f t="shared" ref="M21:S21" si="1">M20</f>
        <v>no</v>
      </c>
      <c r="N21" s="4" t="str">
        <f t="shared" si="1"/>
        <v>no</v>
      </c>
      <c r="O21" s="4" t="str">
        <f t="shared" si="1"/>
        <v>no</v>
      </c>
      <c r="P21" s="4" t="str">
        <f t="shared" si="1"/>
        <v>no</v>
      </c>
      <c r="Q21" s="4" t="str">
        <f t="shared" si="1"/>
        <v>no</v>
      </c>
      <c r="R21" s="4" t="str">
        <f t="shared" si="1"/>
        <v>no</v>
      </c>
      <c r="S21" s="4" t="str">
        <f t="shared" si="1"/>
        <v>no</v>
      </c>
    </row>
    <row r="22" spans="1:46" s="3" customFormat="1" ht="16.5" customHeight="1" x14ac:dyDescent="0.2">
      <c r="A22" s="8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</row>
    <row r="23" spans="1:46" s="3" customFormat="1" ht="16.5" customHeight="1" x14ac:dyDescent="0.2">
      <c r="A23" s="28" t="s">
        <v>110</v>
      </c>
      <c r="B23" s="4"/>
      <c r="C23" s="4" t="s">
        <v>115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</row>
    <row r="24" spans="1:46" s="3" customFormat="1" ht="16.5" customHeight="1" x14ac:dyDescent="0.2">
      <c r="A24" s="27" t="s">
        <v>111</v>
      </c>
      <c r="B24" s="29" t="s">
        <v>112</v>
      </c>
      <c r="C24" s="29" t="s">
        <v>113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  <row r="25" spans="1:46" s="3" customFormat="1" ht="16.5" customHeight="1" x14ac:dyDescent="0.2">
      <c r="A25" s="27" t="s">
        <v>114</v>
      </c>
      <c r="B25" s="30" t="s">
        <v>12</v>
      </c>
      <c r="C25" s="30" t="s">
        <v>12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spans="1:46" s="3" customFormat="1" ht="16.5" customHeight="1" x14ac:dyDescent="0.3">
      <c r="A26" s="2"/>
    </row>
    <row r="27" spans="1:46" s="3" customFormat="1" ht="16.5" customHeight="1" x14ac:dyDescent="0.2">
      <c r="A27" s="5" t="s">
        <v>45</v>
      </c>
    </row>
    <row r="28" spans="1:46" s="3" customFormat="1" x14ac:dyDescent="0.2">
      <c r="A28" s="4" t="s">
        <v>46</v>
      </c>
    </row>
    <row r="29" spans="1:46" s="3" customFormat="1" x14ac:dyDescent="0.2">
      <c r="A29" s="9" t="s">
        <v>47</v>
      </c>
      <c r="B29" s="10" t="s">
        <v>48</v>
      </c>
      <c r="C29" s="9"/>
      <c r="D29" s="9"/>
      <c r="E29" s="11" t="s">
        <v>49</v>
      </c>
      <c r="F29" s="12" t="s">
        <v>50</v>
      </c>
      <c r="G29" s="13"/>
      <c r="H29" s="13"/>
      <c r="I29" s="9" t="s">
        <v>51</v>
      </c>
      <c r="J29" s="10" t="s">
        <v>52</v>
      </c>
      <c r="K29" s="9"/>
      <c r="L29" s="9"/>
      <c r="M29" s="11" t="s">
        <v>53</v>
      </c>
      <c r="N29" s="12" t="s">
        <v>54</v>
      </c>
      <c r="O29" s="13"/>
      <c r="P29" s="13"/>
      <c r="Q29" s="9" t="s">
        <v>55</v>
      </c>
      <c r="R29" s="10" t="s">
        <v>56</v>
      </c>
      <c r="S29" s="9"/>
      <c r="T29" s="9"/>
      <c r="U29" s="11" t="s">
        <v>57</v>
      </c>
      <c r="V29" s="12" t="s">
        <v>58</v>
      </c>
      <c r="W29" s="13"/>
      <c r="X29" s="13"/>
    </row>
    <row r="30" spans="1:46" s="16" customFormat="1" ht="29.25" customHeight="1" x14ac:dyDescent="0.2">
      <c r="A30" s="14" t="s">
        <v>59</v>
      </c>
      <c r="B30" s="25"/>
      <c r="C30" s="24"/>
      <c r="D30" s="9"/>
      <c r="E30" s="15" t="s">
        <v>59</v>
      </c>
      <c r="F30" s="25"/>
      <c r="G30" s="26"/>
      <c r="H30" s="13"/>
      <c r="I30" s="14" t="s">
        <v>59</v>
      </c>
      <c r="J30" s="25"/>
      <c r="K30" s="24"/>
      <c r="L30" s="9"/>
      <c r="M30" s="15" t="s">
        <v>59</v>
      </c>
      <c r="N30" s="25"/>
      <c r="O30" s="26"/>
      <c r="P30" s="13"/>
      <c r="Q30" s="14" t="s">
        <v>59</v>
      </c>
      <c r="R30" s="25"/>
      <c r="S30" s="24"/>
      <c r="T30" s="9"/>
      <c r="U30" s="15" t="s">
        <v>59</v>
      </c>
      <c r="V30" s="25"/>
      <c r="W30" s="26"/>
      <c r="X30" s="1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</row>
    <row r="31" spans="1:46" ht="31.5" customHeight="1" x14ac:dyDescent="0.2">
      <c r="A31" s="17" t="s">
        <v>108</v>
      </c>
      <c r="B31" s="17" t="s">
        <v>60</v>
      </c>
      <c r="C31" s="17" t="s">
        <v>61</v>
      </c>
      <c r="D31" s="17" t="s">
        <v>73</v>
      </c>
      <c r="E31" s="18" t="s">
        <v>109</v>
      </c>
      <c r="F31" s="18" t="s">
        <v>62</v>
      </c>
      <c r="G31" s="18" t="s">
        <v>63</v>
      </c>
      <c r="H31" s="18" t="s">
        <v>74</v>
      </c>
      <c r="I31" s="17" t="s">
        <v>107</v>
      </c>
      <c r="J31" s="17" t="s">
        <v>64</v>
      </c>
      <c r="K31" s="17" t="s">
        <v>65</v>
      </c>
      <c r="L31" s="17" t="s">
        <v>75</v>
      </c>
      <c r="M31" s="18" t="s">
        <v>106</v>
      </c>
      <c r="N31" s="18" t="s">
        <v>66</v>
      </c>
      <c r="O31" s="18" t="s">
        <v>67</v>
      </c>
      <c r="P31" s="18" t="s">
        <v>76</v>
      </c>
      <c r="Q31" s="17" t="s">
        <v>105</v>
      </c>
      <c r="R31" s="17" t="s">
        <v>68</v>
      </c>
      <c r="S31" s="17" t="s">
        <v>69</v>
      </c>
      <c r="T31" s="17" t="s">
        <v>77</v>
      </c>
      <c r="U31" s="18" t="s">
        <v>90</v>
      </c>
      <c r="V31" s="18" t="s">
        <v>70</v>
      </c>
      <c r="W31" s="18" t="s">
        <v>71</v>
      </c>
      <c r="X31" s="18" t="s">
        <v>72</v>
      </c>
      <c r="Y31" s="19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</row>
    <row r="32" spans="1:46" s="20" customFormat="1" ht="17" x14ac:dyDescent="0.2">
      <c r="A32" s="17" t="s">
        <v>78</v>
      </c>
      <c r="B32" s="1"/>
      <c r="C32" s="1"/>
      <c r="D32" s="23"/>
      <c r="E32" s="18" t="s">
        <v>78</v>
      </c>
      <c r="F32" s="1"/>
      <c r="G32" s="1"/>
      <c r="H32" s="23"/>
      <c r="I32" s="17" t="s">
        <v>78</v>
      </c>
      <c r="J32" s="1"/>
      <c r="K32" s="1"/>
      <c r="L32" s="22"/>
      <c r="M32" s="18" t="s">
        <v>78</v>
      </c>
      <c r="P32" s="23"/>
      <c r="Q32" s="17" t="s">
        <v>78</v>
      </c>
      <c r="S32" s="1"/>
      <c r="T32" s="22"/>
      <c r="U32" s="18" t="s">
        <v>78</v>
      </c>
      <c r="V32" s="1"/>
      <c r="W32" s="1"/>
      <c r="X32" s="22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</row>
    <row r="33" spans="1:46" s="20" customFormat="1" ht="17" x14ac:dyDescent="0.2">
      <c r="A33" s="17" t="s">
        <v>79</v>
      </c>
      <c r="D33" s="23"/>
      <c r="E33" s="18" t="s">
        <v>79</v>
      </c>
      <c r="H33" s="23"/>
      <c r="I33" s="17" t="s">
        <v>79</v>
      </c>
      <c r="L33" s="23"/>
      <c r="M33" s="18" t="s">
        <v>79</v>
      </c>
      <c r="P33" s="23"/>
      <c r="Q33" s="17" t="s">
        <v>79</v>
      </c>
      <c r="T33" s="23"/>
      <c r="U33" s="18" t="s">
        <v>79</v>
      </c>
      <c r="X33" s="23"/>
      <c r="Y33" s="21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</row>
    <row r="34" spans="1:46" s="20" customFormat="1" ht="17" x14ac:dyDescent="0.2">
      <c r="A34" s="17" t="s">
        <v>80</v>
      </c>
      <c r="D34" s="23"/>
      <c r="E34" s="18" t="s">
        <v>80</v>
      </c>
      <c r="H34" s="23"/>
      <c r="I34" s="17" t="s">
        <v>80</v>
      </c>
      <c r="L34" s="23"/>
      <c r="M34" s="18" t="s">
        <v>80</v>
      </c>
      <c r="P34" s="23"/>
      <c r="Q34" s="17" t="s">
        <v>80</v>
      </c>
      <c r="T34" s="23"/>
      <c r="U34" s="18" t="s">
        <v>80</v>
      </c>
      <c r="X34" s="23"/>
      <c r="Y34" s="21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</row>
    <row r="35" spans="1:46" s="20" customFormat="1" ht="17" x14ac:dyDescent="0.2">
      <c r="A35" s="17" t="s">
        <v>81</v>
      </c>
      <c r="D35" s="23"/>
      <c r="E35" s="18" t="s">
        <v>81</v>
      </c>
      <c r="H35" s="23"/>
      <c r="I35" s="17" t="s">
        <v>81</v>
      </c>
      <c r="L35" s="23"/>
      <c r="M35" s="18" t="s">
        <v>81</v>
      </c>
      <c r="P35" s="23"/>
      <c r="Q35" s="17" t="s">
        <v>81</v>
      </c>
      <c r="T35" s="23"/>
      <c r="U35" s="18" t="s">
        <v>81</v>
      </c>
      <c r="X35" s="23"/>
      <c r="Y35" s="21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</row>
    <row r="36" spans="1:46" s="20" customFormat="1" ht="17" x14ac:dyDescent="0.2">
      <c r="A36" s="17" t="s">
        <v>83</v>
      </c>
      <c r="D36" s="23"/>
      <c r="E36" s="18" t="s">
        <v>83</v>
      </c>
      <c r="H36" s="23"/>
      <c r="I36" s="17" t="s">
        <v>83</v>
      </c>
      <c r="L36" s="23"/>
      <c r="M36" s="18" t="s">
        <v>83</v>
      </c>
      <c r="P36" s="23"/>
      <c r="Q36" s="17" t="s">
        <v>83</v>
      </c>
      <c r="T36" s="23"/>
      <c r="U36" s="18" t="s">
        <v>83</v>
      </c>
      <c r="X36" s="23"/>
      <c r="Y36" s="21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</row>
    <row r="37" spans="1:46" s="20" customFormat="1" ht="17" x14ac:dyDescent="0.2">
      <c r="A37" s="17" t="s">
        <v>82</v>
      </c>
      <c r="D37" s="23"/>
      <c r="E37" s="18" t="s">
        <v>82</v>
      </c>
      <c r="H37" s="23"/>
      <c r="I37" s="17" t="s">
        <v>82</v>
      </c>
      <c r="K37" s="1"/>
      <c r="L37" s="23"/>
      <c r="M37" s="18" t="s">
        <v>82</v>
      </c>
      <c r="P37" s="23"/>
      <c r="Q37" s="17" t="s">
        <v>82</v>
      </c>
      <c r="T37" s="23"/>
      <c r="U37" s="18" t="s">
        <v>82</v>
      </c>
      <c r="X37" s="23"/>
      <c r="Y37" s="21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</row>
    <row r="38" spans="1:46" s="20" customFormat="1" ht="17" x14ac:dyDescent="0.2">
      <c r="A38" s="17" t="s">
        <v>84</v>
      </c>
      <c r="D38" s="23"/>
      <c r="E38" s="18" t="s">
        <v>84</v>
      </c>
      <c r="H38" s="23"/>
      <c r="I38" s="17" t="s">
        <v>84</v>
      </c>
      <c r="L38" s="23"/>
      <c r="M38" s="18" t="s">
        <v>84</v>
      </c>
      <c r="P38" s="23"/>
      <c r="Q38" s="17" t="s">
        <v>84</v>
      </c>
      <c r="T38" s="23"/>
      <c r="U38" s="18" t="s">
        <v>84</v>
      </c>
      <c r="X38" s="23"/>
      <c r="Y38" s="21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</row>
    <row r="39" spans="1:46" s="20" customFormat="1" ht="17" x14ac:dyDescent="0.2">
      <c r="A39" s="17" t="s">
        <v>85</v>
      </c>
      <c r="D39" s="23"/>
      <c r="E39" s="18" t="s">
        <v>85</v>
      </c>
      <c r="H39" s="23"/>
      <c r="I39" s="17" t="s">
        <v>85</v>
      </c>
      <c r="L39" s="23"/>
      <c r="M39" s="18" t="s">
        <v>85</v>
      </c>
      <c r="P39" s="23"/>
      <c r="Q39" s="17" t="s">
        <v>85</v>
      </c>
      <c r="T39" s="23"/>
      <c r="U39" s="18" t="s">
        <v>85</v>
      </c>
      <c r="X39" s="23"/>
      <c r="Y39" s="21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</row>
    <row r="40" spans="1:46" s="20" customFormat="1" ht="17" x14ac:dyDescent="0.2">
      <c r="A40" s="17" t="s">
        <v>86</v>
      </c>
      <c r="D40" s="23"/>
      <c r="E40" s="18" t="s">
        <v>86</v>
      </c>
      <c r="H40" s="23"/>
      <c r="I40" s="17" t="s">
        <v>86</v>
      </c>
      <c r="L40" s="23"/>
      <c r="M40" s="18" t="s">
        <v>86</v>
      </c>
      <c r="P40" s="23"/>
      <c r="Q40" s="17" t="s">
        <v>86</v>
      </c>
      <c r="T40" s="23"/>
      <c r="U40" s="18" t="s">
        <v>86</v>
      </c>
      <c r="X40" s="23"/>
      <c r="Y40" s="21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</row>
    <row r="41" spans="1:46" s="20" customFormat="1" ht="17" x14ac:dyDescent="0.2">
      <c r="A41" s="17" t="s">
        <v>87</v>
      </c>
      <c r="D41" s="23"/>
      <c r="E41" s="18" t="s">
        <v>87</v>
      </c>
      <c r="H41" s="23"/>
      <c r="I41" s="17" t="s">
        <v>87</v>
      </c>
      <c r="L41" s="23"/>
      <c r="M41" s="18" t="s">
        <v>87</v>
      </c>
      <c r="P41" s="23"/>
      <c r="Q41" s="17" t="s">
        <v>87</v>
      </c>
      <c r="T41" s="23"/>
      <c r="U41" s="18" t="s">
        <v>87</v>
      </c>
      <c r="X41" s="23"/>
      <c r="Y41" s="21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</row>
    <row r="42" spans="1:46" s="20" customFormat="1" ht="17" x14ac:dyDescent="0.2">
      <c r="A42" s="17" t="s">
        <v>88</v>
      </c>
      <c r="D42" s="23"/>
      <c r="E42" s="18" t="s">
        <v>88</v>
      </c>
      <c r="H42" s="23"/>
      <c r="I42" s="17" t="s">
        <v>88</v>
      </c>
      <c r="L42" s="23"/>
      <c r="M42" s="18" t="s">
        <v>88</v>
      </c>
      <c r="P42" s="23"/>
      <c r="Q42" s="17" t="s">
        <v>88</v>
      </c>
      <c r="T42" s="23"/>
      <c r="U42" s="18" t="s">
        <v>88</v>
      </c>
      <c r="X42" s="23"/>
      <c r="Y42" s="21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</row>
    <row r="43" spans="1:46" s="20" customFormat="1" ht="17" x14ac:dyDescent="0.2">
      <c r="A43" s="17" t="s">
        <v>89</v>
      </c>
      <c r="D43" s="23"/>
      <c r="E43" s="18" t="s">
        <v>89</v>
      </c>
      <c r="H43" s="23"/>
      <c r="I43" s="17" t="s">
        <v>89</v>
      </c>
      <c r="L43" s="23"/>
      <c r="M43" s="18" t="s">
        <v>89</v>
      </c>
      <c r="P43" s="23"/>
      <c r="Q43" s="17" t="s">
        <v>89</v>
      </c>
      <c r="T43" s="23"/>
      <c r="U43" s="18" t="s">
        <v>89</v>
      </c>
      <c r="X43" s="23"/>
      <c r="Y43" s="21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</row>
    <row r="44" spans="1:46" s="20" customFormat="1" ht="17" x14ac:dyDescent="0.2">
      <c r="A44" s="17" t="s">
        <v>91</v>
      </c>
      <c r="D44" s="23"/>
      <c r="E44" s="18" t="s">
        <v>91</v>
      </c>
      <c r="H44" s="23"/>
      <c r="I44" s="17" t="s">
        <v>91</v>
      </c>
      <c r="L44" s="23"/>
      <c r="M44" s="18" t="s">
        <v>91</v>
      </c>
      <c r="P44" s="23"/>
      <c r="Q44" s="17" t="s">
        <v>91</v>
      </c>
      <c r="T44" s="23"/>
      <c r="U44" s="18" t="s">
        <v>91</v>
      </c>
      <c r="X44" s="23"/>
      <c r="Y44" s="21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</row>
    <row r="45" spans="1:46" s="20" customFormat="1" ht="17" x14ac:dyDescent="0.2">
      <c r="A45" s="17" t="s">
        <v>92</v>
      </c>
      <c r="D45" s="23"/>
      <c r="E45" s="18" t="s">
        <v>92</v>
      </c>
      <c r="H45" s="23"/>
      <c r="I45" s="17" t="s">
        <v>92</v>
      </c>
      <c r="L45" s="23"/>
      <c r="M45" s="18" t="s">
        <v>92</v>
      </c>
      <c r="P45" s="23"/>
      <c r="Q45" s="17" t="s">
        <v>92</v>
      </c>
      <c r="T45" s="23"/>
      <c r="U45" s="18" t="s">
        <v>92</v>
      </c>
      <c r="X45" s="23"/>
      <c r="Y45" s="21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</row>
    <row r="46" spans="1:46" s="20" customFormat="1" ht="17" x14ac:dyDescent="0.2">
      <c r="A46" s="17" t="s">
        <v>93</v>
      </c>
      <c r="D46" s="23"/>
      <c r="E46" s="18" t="s">
        <v>93</v>
      </c>
      <c r="H46" s="23"/>
      <c r="I46" s="17" t="s">
        <v>93</v>
      </c>
      <c r="L46" s="23"/>
      <c r="M46" s="18" t="s">
        <v>93</v>
      </c>
      <c r="P46" s="23"/>
      <c r="Q46" s="17" t="s">
        <v>93</v>
      </c>
      <c r="T46" s="23"/>
      <c r="U46" s="18" t="s">
        <v>93</v>
      </c>
      <c r="X46" s="23"/>
      <c r="Y46" s="21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</row>
    <row r="47" spans="1:46" s="20" customFormat="1" ht="17" x14ac:dyDescent="0.2">
      <c r="A47" s="17" t="s">
        <v>94</v>
      </c>
      <c r="D47" s="23"/>
      <c r="E47" s="18" t="s">
        <v>94</v>
      </c>
      <c r="H47" s="23"/>
      <c r="I47" s="17" t="s">
        <v>94</v>
      </c>
      <c r="L47" s="23"/>
      <c r="M47" s="18" t="s">
        <v>94</v>
      </c>
      <c r="P47" s="23"/>
      <c r="Q47" s="17" t="s">
        <v>94</v>
      </c>
      <c r="T47" s="23"/>
      <c r="U47" s="18" t="s">
        <v>94</v>
      </c>
      <c r="X47" s="23"/>
      <c r="Y47" s="21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</row>
    <row r="48" spans="1:46" s="20" customFormat="1" ht="17" x14ac:dyDescent="0.2">
      <c r="A48" s="17" t="s">
        <v>95</v>
      </c>
      <c r="D48" s="23"/>
      <c r="E48" s="18" t="s">
        <v>95</v>
      </c>
      <c r="H48" s="23"/>
      <c r="I48" s="17" t="s">
        <v>95</v>
      </c>
      <c r="L48" s="23"/>
      <c r="M48" s="18" t="s">
        <v>95</v>
      </c>
      <c r="P48" s="23"/>
      <c r="Q48" s="17" t="s">
        <v>95</v>
      </c>
      <c r="T48" s="23"/>
      <c r="U48" s="18" t="s">
        <v>95</v>
      </c>
      <c r="X48" s="23"/>
      <c r="Y48" s="21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</row>
    <row r="49" spans="1:46" s="20" customFormat="1" ht="17" x14ac:dyDescent="0.2">
      <c r="A49" s="17" t="s">
        <v>96</v>
      </c>
      <c r="D49" s="23"/>
      <c r="E49" s="18" t="s">
        <v>96</v>
      </c>
      <c r="H49" s="23"/>
      <c r="I49" s="17" t="s">
        <v>96</v>
      </c>
      <c r="L49" s="23"/>
      <c r="M49" s="18" t="s">
        <v>96</v>
      </c>
      <c r="P49" s="23"/>
      <c r="Q49" s="17" t="s">
        <v>96</v>
      </c>
      <c r="T49" s="23"/>
      <c r="U49" s="18" t="s">
        <v>96</v>
      </c>
      <c r="X49" s="23"/>
      <c r="Y49" s="21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</row>
    <row r="50" spans="1:46" s="20" customFormat="1" ht="17" x14ac:dyDescent="0.2">
      <c r="A50" s="17" t="s">
        <v>97</v>
      </c>
      <c r="D50" s="23"/>
      <c r="E50" s="18" t="s">
        <v>97</v>
      </c>
      <c r="H50" s="23"/>
      <c r="I50" s="17" t="s">
        <v>97</v>
      </c>
      <c r="L50" s="23"/>
      <c r="M50" s="18" t="s">
        <v>97</v>
      </c>
      <c r="P50" s="23"/>
      <c r="Q50" s="17" t="s">
        <v>97</v>
      </c>
      <c r="T50" s="23"/>
      <c r="U50" s="18" t="s">
        <v>97</v>
      </c>
      <c r="X50" s="23"/>
      <c r="Y50" s="21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</row>
    <row r="51" spans="1:46" s="20" customFormat="1" ht="17" x14ac:dyDescent="0.2">
      <c r="A51" s="17" t="s">
        <v>98</v>
      </c>
      <c r="D51" s="23"/>
      <c r="E51" s="18" t="s">
        <v>98</v>
      </c>
      <c r="H51" s="23"/>
      <c r="I51" s="17" t="s">
        <v>98</v>
      </c>
      <c r="L51" s="23"/>
      <c r="M51" s="18" t="s">
        <v>98</v>
      </c>
      <c r="P51" s="23"/>
      <c r="Q51" s="17" t="s">
        <v>98</v>
      </c>
      <c r="T51" s="23"/>
      <c r="U51" s="18" t="s">
        <v>98</v>
      </c>
      <c r="X51" s="23"/>
      <c r="Y51" s="21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</row>
    <row r="52" spans="1:46" s="20" customFormat="1" ht="17" x14ac:dyDescent="0.2">
      <c r="A52" s="17" t="s">
        <v>99</v>
      </c>
      <c r="D52" s="23"/>
      <c r="E52" s="18" t="s">
        <v>99</v>
      </c>
      <c r="H52" s="23"/>
      <c r="I52" s="17" t="s">
        <v>99</v>
      </c>
      <c r="L52" s="23"/>
      <c r="M52" s="18" t="s">
        <v>99</v>
      </c>
      <c r="P52" s="23"/>
      <c r="Q52" s="17" t="s">
        <v>99</v>
      </c>
      <c r="T52" s="23"/>
      <c r="U52" s="18" t="s">
        <v>99</v>
      </c>
      <c r="X52" s="23"/>
      <c r="Y52" s="21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</row>
    <row r="53" spans="1:46" s="20" customFormat="1" ht="17" x14ac:dyDescent="0.2">
      <c r="A53" s="17" t="s">
        <v>100</v>
      </c>
      <c r="D53" s="23"/>
      <c r="E53" s="18" t="s">
        <v>100</v>
      </c>
      <c r="H53" s="23"/>
      <c r="I53" s="17" t="s">
        <v>100</v>
      </c>
      <c r="L53" s="23"/>
      <c r="M53" s="18" t="s">
        <v>100</v>
      </c>
      <c r="P53" s="23"/>
      <c r="Q53" s="17" t="s">
        <v>100</v>
      </c>
      <c r="T53" s="23"/>
      <c r="U53" s="18" t="s">
        <v>100</v>
      </c>
      <c r="X53" s="23"/>
      <c r="Y53" s="21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</row>
    <row r="54" spans="1:46" s="20" customFormat="1" ht="17" x14ac:dyDescent="0.2">
      <c r="A54" s="17" t="s">
        <v>101</v>
      </c>
      <c r="D54" s="23"/>
      <c r="E54" s="18" t="s">
        <v>101</v>
      </c>
      <c r="H54" s="23"/>
      <c r="I54" s="17" t="s">
        <v>101</v>
      </c>
      <c r="L54" s="23"/>
      <c r="M54" s="18" t="s">
        <v>101</v>
      </c>
      <c r="P54" s="23"/>
      <c r="Q54" s="17" t="s">
        <v>101</v>
      </c>
      <c r="T54" s="23"/>
      <c r="U54" s="18" t="s">
        <v>101</v>
      </c>
      <c r="X54" s="23"/>
      <c r="Y54" s="21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</row>
    <row r="55" spans="1:46" s="20" customFormat="1" ht="17" x14ac:dyDescent="0.2">
      <c r="A55" s="17" t="s">
        <v>102</v>
      </c>
      <c r="D55" s="23"/>
      <c r="E55" s="18" t="s">
        <v>102</v>
      </c>
      <c r="H55" s="23"/>
      <c r="I55" s="17" t="s">
        <v>102</v>
      </c>
      <c r="L55" s="23"/>
      <c r="M55" s="18" t="s">
        <v>102</v>
      </c>
      <c r="P55" s="23"/>
      <c r="Q55" s="17" t="s">
        <v>102</v>
      </c>
      <c r="T55" s="23"/>
      <c r="U55" s="18" t="s">
        <v>102</v>
      </c>
      <c r="X55" s="23"/>
      <c r="Y55" s="21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</row>
    <row r="56" spans="1:46" s="20" customFormat="1" ht="17" x14ac:dyDescent="0.2">
      <c r="A56" s="17" t="s">
        <v>103</v>
      </c>
      <c r="D56" s="23"/>
      <c r="E56" s="18" t="s">
        <v>103</v>
      </c>
      <c r="H56" s="23"/>
      <c r="I56" s="17" t="s">
        <v>103</v>
      </c>
      <c r="L56" s="23"/>
      <c r="M56" s="18" t="s">
        <v>103</v>
      </c>
      <c r="P56" s="23"/>
      <c r="Q56" s="17" t="s">
        <v>103</v>
      </c>
      <c r="T56" s="23"/>
      <c r="U56" s="18" t="s">
        <v>103</v>
      </c>
      <c r="X56" s="23"/>
      <c r="Y56" s="21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</row>
    <row r="57" spans="1:46" s="20" customFormat="1" ht="17" x14ac:dyDescent="0.2">
      <c r="A57" s="17" t="s">
        <v>104</v>
      </c>
      <c r="D57" s="23"/>
      <c r="E57" s="18" t="s">
        <v>104</v>
      </c>
      <c r="H57" s="23"/>
      <c r="I57" s="17" t="s">
        <v>104</v>
      </c>
      <c r="L57" s="23"/>
      <c r="M57" s="18" t="s">
        <v>104</v>
      </c>
      <c r="P57" s="23"/>
      <c r="Q57" s="17" t="s">
        <v>104</v>
      </c>
      <c r="T57" s="23"/>
      <c r="U57" s="18" t="s">
        <v>104</v>
      </c>
      <c r="X57" s="23"/>
      <c r="Y57" s="21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</row>
    <row r="58" spans="1:46" s="20" customFormat="1" x14ac:dyDescent="0.2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</row>
    <row r="59" spans="1:46" x14ac:dyDescent="0.2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</row>
    <row r="60" spans="1:46" x14ac:dyDescent="0.2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</row>
    <row r="61" spans="1:46" x14ac:dyDescent="0.2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 Beguelin</dc:creator>
  <dc:description/>
  <cp:lastModifiedBy>Paul Beguelin</cp:lastModifiedBy>
  <cp:revision>10</cp:revision>
  <dcterms:created xsi:type="dcterms:W3CDTF">2025-12-23T11:12:00Z</dcterms:created>
  <dcterms:modified xsi:type="dcterms:W3CDTF">2026-07-11T21:18:42Z</dcterms:modified>
  <dc:language>en-GB</dc:language>
</cp:coreProperties>
</file>